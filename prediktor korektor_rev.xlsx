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14F5DB2-9E9F-4AC3-BD1A-4D834B6802D9}" xr6:coauthVersionLast="47" xr6:coauthVersionMax="47" xr10:uidLastSave="{00000000-0000-0000-0000-000000000000}"/>
  <bookViews>
    <workbookView xWindow="-120" yWindow="-120" windowWidth="20730" windowHeight="11160" xr2:uid="{0A64D6EE-9B61-4B29-BD63-408A23F761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1" l="1"/>
  <c r="G6" i="1" s="1"/>
  <c r="F7" i="1"/>
  <c r="G7" i="1"/>
  <c r="F8" i="1"/>
  <c r="G8" i="1" s="1"/>
  <c r="F9" i="1"/>
  <c r="G9" i="1"/>
  <c r="F10" i="1"/>
  <c r="G10" i="1" s="1"/>
  <c r="F11" i="1"/>
  <c r="G11" i="1"/>
  <c r="F12" i="1"/>
  <c r="G12" i="1" s="1"/>
  <c r="F13" i="1"/>
  <c r="G13" i="1"/>
  <c r="F14" i="1"/>
  <c r="G14" i="1" s="1"/>
  <c r="F15" i="1"/>
  <c r="G15" i="1"/>
  <c r="F16" i="1"/>
  <c r="G16" i="1" s="1"/>
  <c r="F17" i="1"/>
  <c r="G17" i="1"/>
  <c r="F18" i="1"/>
  <c r="G18" i="1" s="1"/>
  <c r="F19" i="1"/>
  <c r="G19" i="1"/>
  <c r="F20" i="1"/>
  <c r="G20" i="1" s="1"/>
  <c r="F21" i="1"/>
  <c r="G21" i="1"/>
  <c r="F22" i="1"/>
  <c r="G22" i="1" s="1"/>
  <c r="F23" i="1"/>
  <c r="G23" i="1"/>
  <c r="F24" i="1"/>
  <c r="G24" i="1" s="1"/>
  <c r="F25" i="1"/>
  <c r="G25" i="1"/>
  <c r="F26" i="1"/>
  <c r="G26" i="1" s="1"/>
  <c r="F27" i="1"/>
  <c r="G27" i="1"/>
  <c r="F28" i="1"/>
  <c r="G28" i="1" s="1"/>
  <c r="G5" i="1"/>
  <c r="F5" i="1"/>
  <c r="D8" i="1"/>
  <c r="C8" i="1"/>
  <c r="E6" i="1"/>
  <c r="E8" i="1"/>
  <c r="D6" i="1"/>
  <c r="D7" i="1"/>
  <c r="E7" i="1" s="1"/>
  <c r="D5" i="1"/>
  <c r="E5" i="1" s="1"/>
  <c r="C6" i="1" s="1"/>
  <c r="C7" i="1"/>
  <c r="C5" i="1"/>
  <c r="C9" i="1" l="1"/>
  <c r="D9" i="1" s="1"/>
  <c r="E9" i="1" s="1"/>
  <c r="C10" i="1" l="1"/>
  <c r="D10" i="1"/>
  <c r="E10" i="1" s="1"/>
  <c r="C11" i="1" l="1"/>
  <c r="D11" i="1"/>
  <c r="E11" i="1" s="1"/>
  <c r="C12" i="1" l="1"/>
  <c r="D12" i="1" s="1"/>
  <c r="E12" i="1" s="1"/>
  <c r="C13" i="1" l="1"/>
  <c r="D13" i="1" s="1"/>
  <c r="E13" i="1" s="1"/>
  <c r="C14" i="1" l="1"/>
  <c r="D14" i="1" s="1"/>
  <c r="E14" i="1" s="1"/>
  <c r="C15" i="1" l="1"/>
  <c r="D15" i="1"/>
  <c r="E15" i="1" s="1"/>
  <c r="C16" i="1" l="1"/>
  <c r="D16" i="1" s="1"/>
  <c r="E16" i="1" s="1"/>
  <c r="C17" i="1" l="1"/>
  <c r="D17" i="1" s="1"/>
  <c r="E17" i="1" s="1"/>
  <c r="C18" i="1" l="1"/>
  <c r="D18" i="1"/>
  <c r="E18" i="1" s="1"/>
  <c r="C19" i="1" l="1"/>
  <c r="D19" i="1"/>
  <c r="E19" i="1" s="1"/>
  <c r="C20" i="1" l="1"/>
  <c r="D20" i="1" s="1"/>
  <c r="E20" i="1" s="1"/>
  <c r="C21" i="1" l="1"/>
  <c r="D21" i="1" s="1"/>
  <c r="E21" i="1" s="1"/>
  <c r="C22" i="1" l="1"/>
  <c r="D22" i="1"/>
  <c r="E22" i="1" s="1"/>
  <c r="C23" i="1" l="1"/>
  <c r="D23" i="1"/>
  <c r="E23" i="1" s="1"/>
  <c r="C24" i="1" l="1"/>
  <c r="D24" i="1" s="1"/>
  <c r="E24" i="1" s="1"/>
  <c r="C25" i="1" l="1"/>
  <c r="D25" i="1" s="1"/>
  <c r="E25" i="1" s="1"/>
  <c r="C26" i="1" l="1"/>
  <c r="D26" i="1" s="1"/>
  <c r="E26" i="1" s="1"/>
  <c r="C27" i="1" l="1"/>
  <c r="D27" i="1"/>
  <c r="E27" i="1" s="1"/>
  <c r="C28" i="1" l="1"/>
  <c r="D28" i="1" s="1"/>
  <c r="E28" i="1" s="1"/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5" i="1" l="1"/>
  <c r="B4" i="1"/>
</calcChain>
</file>

<file path=xl/sharedStrings.xml><?xml version="1.0" encoding="utf-8"?>
<sst xmlns="http://schemas.openxmlformats.org/spreadsheetml/2006/main" count="11" uniqueCount="11">
  <si>
    <t>h</t>
  </si>
  <si>
    <t>n</t>
  </si>
  <si>
    <t>t_n</t>
  </si>
  <si>
    <t>I_predict</t>
  </si>
  <si>
    <t>I_correct</t>
  </si>
  <si>
    <t>I_n</t>
  </si>
  <si>
    <t>I_exc</t>
  </si>
  <si>
    <t>Err</t>
  </si>
  <si>
    <t>catatan:</t>
  </si>
  <si>
    <t>jika kita mulai iterasi dari n=0 dan t = 0, maka nilai I_predict akan dimulai dari I_1 saat  t = 0,1</t>
  </si>
  <si>
    <t>berikutnya nilai korektor sama seperti prediktor akan dimulai pada t = 0,1 dari I_1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</si>
</sst>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0</xdr:rowOff>
    </xdr:from>
    <xdr:to>
      <xdr:col>13</xdr:col>
      <xdr:colOff>142476</xdr:colOff>
      <xdr:row>5</xdr:row>
      <xdr:rowOff>28500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54DCC8-6699-72AF-A87D-404804571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2075" y="381000"/>
          <a:ext cx="3190476" cy="6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B903-38CB-4F43-80EC-BF76AA3D6D59}">
  <dimension ref="A1:I28"/>
  <sheetViews>
    <sheetView tabSelected="1" workbookViewId="0">
      <selection activeCell="A5" sqref="A5"/>
    </sheetView>
  </sheetViews>
  <sheetFormatPr defaultRowHeight="15" x14ac:dyDescent="0.25"/>
  <cols>
    <col min="3" max="3" width="13.5703125" customWidth="1"/>
    <col min="4" max="4" width="9.140625" customWidth="1"/>
  </cols>
  <sheetData>
    <row r="1" spans="1:9" x14ac:dyDescent="0.25">
      <c r="A1" t="s">
        <v>0</v>
      </c>
      <c r="B1">
        <v>0.1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</row>
    <row r="4" spans="1:9" x14ac:dyDescent="0.25">
      <c r="A4">
        <v>0</v>
      </c>
      <c r="B4">
        <f>A4*$B$1</f>
        <v>0</v>
      </c>
      <c r="E4">
        <v>0</v>
      </c>
      <c r="F4">
        <v>0</v>
      </c>
      <c r="G4">
        <v>0</v>
      </c>
    </row>
    <row r="5" spans="1:9" x14ac:dyDescent="0.25">
      <c r="A5">
        <v>1</v>
      </c>
      <c r="B5">
        <f t="shared" ref="B5:B28" si="0">A5*$B$1</f>
        <v>0.1</v>
      </c>
      <c r="C5">
        <f>E4+$B$1*(20*EXP(-4*B4)-5*E4)</f>
        <v>2</v>
      </c>
      <c r="D5">
        <f>E4+($B$1/2)*((20*EXP(-4*B4)-5*E4)+(20*EXP(-4*B5)-5*C5))</f>
        <v>1.1703200460356393</v>
      </c>
      <c r="E5">
        <f>D5</f>
        <v>1.1703200460356393</v>
      </c>
      <c r="F5">
        <f>20*(EXP(-4*B5)-EXP(-5*B5))</f>
        <v>1.2757877264601181</v>
      </c>
      <c r="G5">
        <f>ABS(F5-E5)</f>
        <v>0.10546768042447874</v>
      </c>
    </row>
    <row r="6" spans="1:9" x14ac:dyDescent="0.25">
      <c r="A6">
        <v>2</v>
      </c>
      <c r="B6">
        <f t="shared" si="0"/>
        <v>0.2</v>
      </c>
      <c r="C6">
        <f t="shared" ref="C6:C28" si="1">E5+$B$1*(20*EXP(-4*B5)-5*E5)</f>
        <v>1.9258001150890984</v>
      </c>
      <c r="D6">
        <f t="shared" ref="D6:D28" si="2">E5+($B$1/2)*((20*EXP(-4*B5)-5*E5)+(20*EXP(-4*B6)-5*C6))</f>
        <v>1.5159390159073158</v>
      </c>
      <c r="E6">
        <f t="shared" ref="E6:E28" si="3">D6</f>
        <v>1.5159390159073158</v>
      </c>
      <c r="F6">
        <f t="shared" ref="F6:F28" si="4">20*(EXP(-4*B6)-EXP(-5*B6))</f>
        <v>1.6289904589155846</v>
      </c>
      <c r="G6">
        <f t="shared" ref="G6:G28" si="5">ABS(F6-E6)</f>
        <v>0.11305144300826875</v>
      </c>
    </row>
    <row r="7" spans="1:9" x14ac:dyDescent="0.25">
      <c r="A7">
        <v>3</v>
      </c>
      <c r="B7">
        <f t="shared" si="0"/>
        <v>0.30000000000000004</v>
      </c>
      <c r="C7">
        <f t="shared" si="1"/>
        <v>1.656627436188101</v>
      </c>
      <c r="D7">
        <f t="shared" si="2"/>
        <v>1.4733205789128851</v>
      </c>
      <c r="E7">
        <f t="shared" si="3"/>
        <v>1.4733205789128851</v>
      </c>
      <c r="F7">
        <f t="shared" si="4"/>
        <v>1.5612810352754447</v>
      </c>
      <c r="G7">
        <f t="shared" si="5"/>
        <v>8.7960456362559558E-2</v>
      </c>
      <c r="I7" t="s">
        <v>8</v>
      </c>
    </row>
    <row r="8" spans="1:9" x14ac:dyDescent="0.25">
      <c r="A8">
        <v>4</v>
      </c>
      <c r="B8">
        <f t="shared" si="0"/>
        <v>0.4</v>
      </c>
      <c r="C8">
        <f t="shared" si="1"/>
        <v>1.3390487132808466</v>
      </c>
      <c r="D8">
        <f t="shared" si="2"/>
        <v>1.2733189857713096</v>
      </c>
      <c r="E8">
        <f t="shared" si="3"/>
        <v>1.2733189857713096</v>
      </c>
      <c r="F8">
        <f t="shared" si="4"/>
        <v>1.3312246951608535</v>
      </c>
      <c r="G8">
        <f t="shared" si="5"/>
        <v>5.7905709389543869E-2</v>
      </c>
      <c r="I8" s="1" t="s">
        <v>9</v>
      </c>
    </row>
    <row r="9" spans="1:9" x14ac:dyDescent="0.25">
      <c r="A9">
        <v>5</v>
      </c>
      <c r="B9">
        <f t="shared" si="0"/>
        <v>0.5</v>
      </c>
      <c r="C9">
        <f t="shared" si="1"/>
        <v>1.0404525288749655</v>
      </c>
      <c r="D9">
        <f t="shared" si="2"/>
        <v>1.032107908341009</v>
      </c>
      <c r="E9">
        <f t="shared" si="3"/>
        <v>1.032107908341009</v>
      </c>
      <c r="F9">
        <f t="shared" si="4"/>
        <v>1.0650056922542781</v>
      </c>
      <c r="G9">
        <f t="shared" si="5"/>
        <v>3.2897783913269141E-2</v>
      </c>
      <c r="I9" t="s">
        <v>10</v>
      </c>
    </row>
    <row r="10" spans="1:9" x14ac:dyDescent="0.25">
      <c r="A10">
        <v>6</v>
      </c>
      <c r="B10">
        <f t="shared" si="0"/>
        <v>0.60000000000000009</v>
      </c>
      <c r="C10">
        <f t="shared" si="1"/>
        <v>0.78672452064372989</v>
      </c>
      <c r="D10">
        <f t="shared" si="2"/>
        <v>0.80345303762084941</v>
      </c>
      <c r="E10">
        <f t="shared" si="3"/>
        <v>0.80345303762084941</v>
      </c>
      <c r="F10">
        <f t="shared" si="4"/>
        <v>0.81861769843097099</v>
      </c>
      <c r="G10">
        <f t="shared" si="5"/>
        <v>1.5164660810121577E-2</v>
      </c>
    </row>
    <row r="11" spans="1:9" x14ac:dyDescent="0.25">
      <c r="A11">
        <v>7</v>
      </c>
      <c r="B11">
        <f t="shared" si="0"/>
        <v>0.70000000000000007</v>
      </c>
      <c r="C11">
        <f t="shared" si="1"/>
        <v>0.58316242538924956</v>
      </c>
      <c r="D11">
        <f t="shared" si="2"/>
        <v>0.60832718778295503</v>
      </c>
      <c r="E11">
        <f t="shared" si="3"/>
        <v>0.60832718778295503</v>
      </c>
      <c r="F11">
        <f t="shared" si="4"/>
        <v>0.61225358405798924</v>
      </c>
      <c r="G11">
        <f t="shared" si="5"/>
        <v>3.9263962750342163E-3</v>
      </c>
    </row>
    <row r="12" spans="1:9" x14ac:dyDescent="0.25">
      <c r="A12">
        <v>8</v>
      </c>
      <c r="B12">
        <f t="shared" si="0"/>
        <v>0.8</v>
      </c>
      <c r="C12">
        <f t="shared" si="1"/>
        <v>0.42578371914191337</v>
      </c>
      <c r="D12">
        <f t="shared" si="2"/>
        <v>0.45137172765532207</v>
      </c>
      <c r="E12">
        <f t="shared" si="3"/>
        <v>0.45137172765532207</v>
      </c>
      <c r="F12">
        <f t="shared" si="4"/>
        <v>0.44893130179264062</v>
      </c>
      <c r="G12">
        <f t="shared" si="5"/>
        <v>2.4404258626814501E-3</v>
      </c>
    </row>
    <row r="13" spans="1:9" x14ac:dyDescent="0.25">
      <c r="A13">
        <v>9</v>
      </c>
      <c r="B13">
        <f t="shared" si="0"/>
        <v>0.9</v>
      </c>
      <c r="C13">
        <f t="shared" si="1"/>
        <v>0.30721027178439342</v>
      </c>
      <c r="D13">
        <f t="shared" si="2"/>
        <v>0.32981215422105198</v>
      </c>
      <c r="E13">
        <f t="shared" si="3"/>
        <v>0.32981215422105198</v>
      </c>
      <c r="F13">
        <f t="shared" si="4"/>
        <v>0.32429451818100502</v>
      </c>
      <c r="G13">
        <f t="shared" si="5"/>
        <v>5.5176360400469582E-3</v>
      </c>
    </row>
    <row r="14" spans="1:9" x14ac:dyDescent="0.25">
      <c r="A14">
        <v>10</v>
      </c>
      <c r="B14">
        <f t="shared" si="0"/>
        <v>1</v>
      </c>
      <c r="C14">
        <f t="shared" si="1"/>
        <v>0.21955352200511113</v>
      </c>
      <c r="D14">
        <f t="shared" si="2"/>
        <v>0.23811009650053794</v>
      </c>
      <c r="E14">
        <f t="shared" si="3"/>
        <v>0.23811009650053794</v>
      </c>
      <c r="F14">
        <f t="shared" si="4"/>
        <v>0.23155383779297423</v>
      </c>
      <c r="G14">
        <f t="shared" si="5"/>
        <v>6.5562587075637113E-3</v>
      </c>
    </row>
    <row r="15" spans="1:9" x14ac:dyDescent="0.25">
      <c r="A15">
        <v>11</v>
      </c>
      <c r="B15">
        <f t="shared" si="0"/>
        <v>1.1000000000000001</v>
      </c>
      <c r="C15">
        <f t="shared" si="1"/>
        <v>0.1556863260277373</v>
      </c>
      <c r="D15">
        <f t="shared" si="2"/>
        <v>0.17025396966027173</v>
      </c>
      <c r="E15">
        <f t="shared" si="3"/>
        <v>0.17025396966027173</v>
      </c>
      <c r="F15">
        <f t="shared" si="4"/>
        <v>0.16381136929208739</v>
      </c>
      <c r="G15">
        <f t="shared" si="5"/>
        <v>6.4426003681843369E-3</v>
      </c>
    </row>
    <row r="16" spans="1:9" x14ac:dyDescent="0.25">
      <c r="A16">
        <v>12</v>
      </c>
      <c r="B16">
        <f t="shared" si="0"/>
        <v>1.2000000000000002</v>
      </c>
      <c r="C16">
        <f t="shared" si="1"/>
        <v>0.10968166463627274</v>
      </c>
      <c r="D16">
        <f t="shared" si="2"/>
        <v>0.12077714803822406</v>
      </c>
      <c r="E16">
        <f t="shared" si="3"/>
        <v>0.12077714803822406</v>
      </c>
      <c r="F16">
        <f t="shared" si="4"/>
        <v>0.11501989744707335</v>
      </c>
      <c r="G16">
        <f t="shared" si="5"/>
        <v>5.7572505911507171E-3</v>
      </c>
    </row>
    <row r="17" spans="1:7" x14ac:dyDescent="0.25">
      <c r="A17">
        <v>13</v>
      </c>
      <c r="B17">
        <f t="shared" si="0"/>
        <v>1.3</v>
      </c>
      <c r="C17">
        <f t="shared" si="1"/>
        <v>7.6848068117152085E-2</v>
      </c>
      <c r="D17">
        <f t="shared" si="2"/>
        <v>8.5117155469160821E-2</v>
      </c>
      <c r="E17">
        <f t="shared" si="3"/>
        <v>8.5117155469160821E-2</v>
      </c>
      <c r="F17">
        <f t="shared" si="4"/>
        <v>8.0262504555663999E-2</v>
      </c>
      <c r="G17">
        <f t="shared" si="5"/>
        <v>4.8546509134968219E-3</v>
      </c>
    </row>
    <row r="18" spans="1:7" x14ac:dyDescent="0.25">
      <c r="A18">
        <v>14</v>
      </c>
      <c r="B18">
        <f t="shared" si="0"/>
        <v>1.4000000000000001</v>
      </c>
      <c r="C18">
        <f t="shared" si="1"/>
        <v>5.3591706576101954E-2</v>
      </c>
      <c r="D18">
        <f t="shared" si="2"/>
        <v>5.9654368095088825E-2</v>
      </c>
      <c r="E18">
        <f t="shared" si="3"/>
        <v>5.9654368095088825E-2</v>
      </c>
      <c r="F18">
        <f t="shared" si="4"/>
        <v>5.5719635018568268E-2</v>
      </c>
      <c r="G18">
        <f t="shared" si="5"/>
        <v>3.9347330765205565E-3</v>
      </c>
    </row>
    <row r="19" spans="1:7" x14ac:dyDescent="0.25">
      <c r="A19">
        <v>15</v>
      </c>
      <c r="B19">
        <f t="shared" si="0"/>
        <v>1.5</v>
      </c>
      <c r="C19">
        <f t="shared" si="1"/>
        <v>3.7222911480510268E-2</v>
      </c>
      <c r="D19">
        <f t="shared" si="2"/>
        <v>4.1611664094338335E-2</v>
      </c>
      <c r="E19">
        <f t="shared" si="3"/>
        <v>4.1611664094338335E-2</v>
      </c>
      <c r="F19">
        <f t="shared" si="4"/>
        <v>3.8513356130370498E-2</v>
      </c>
      <c r="G19">
        <f t="shared" si="5"/>
        <v>3.0983079639678376E-3</v>
      </c>
    </row>
    <row r="20" spans="1:7" x14ac:dyDescent="0.25">
      <c r="A20">
        <v>16</v>
      </c>
      <c r="B20">
        <f t="shared" si="0"/>
        <v>1.6</v>
      </c>
      <c r="C20">
        <f t="shared" si="1"/>
        <v>2.5763336400501883E-2</v>
      </c>
      <c r="D20">
        <f t="shared" si="2"/>
        <v>2.8908223420468573E-2</v>
      </c>
      <c r="E20">
        <f t="shared" si="3"/>
        <v>2.8908223420468573E-2</v>
      </c>
      <c r="F20">
        <f t="shared" si="4"/>
        <v>2.6521892905428442E-2</v>
      </c>
      <c r="G20">
        <f t="shared" si="5"/>
        <v>2.3863305150401311E-3</v>
      </c>
    </row>
    <row r="21" spans="1:7" x14ac:dyDescent="0.25">
      <c r="A21">
        <v>17</v>
      </c>
      <c r="B21">
        <f t="shared" si="0"/>
        <v>1.7000000000000002</v>
      </c>
      <c r="C21">
        <f t="shared" si="1"/>
        <v>1.7777226256582155E-2</v>
      </c>
      <c r="D21">
        <f t="shared" si="2"/>
        <v>2.0012193422224628E-2</v>
      </c>
      <c r="E21">
        <f t="shared" si="3"/>
        <v>2.0012193422224628E-2</v>
      </c>
      <c r="F21">
        <f t="shared" si="4"/>
        <v>1.8206135576683165E-2</v>
      </c>
      <c r="G21">
        <f t="shared" si="5"/>
        <v>1.806057845541463E-3</v>
      </c>
    </row>
    <row r="22" spans="1:7" x14ac:dyDescent="0.25">
      <c r="A22">
        <v>18</v>
      </c>
      <c r="B22">
        <f t="shared" si="0"/>
        <v>1.8</v>
      </c>
      <c r="C22">
        <f t="shared" si="1"/>
        <v>1.2233647006801919E-2</v>
      </c>
      <c r="D22">
        <f t="shared" si="2"/>
        <v>1.3811094271189473E-2</v>
      </c>
      <c r="E22">
        <f t="shared" si="3"/>
        <v>1.3811094271189473E-2</v>
      </c>
      <c r="F22">
        <f t="shared" si="4"/>
        <v>1.2463520085799991E-2</v>
      </c>
      <c r="G22">
        <f t="shared" si="5"/>
        <v>1.3475741853894822E-3</v>
      </c>
    </row>
    <row r="23" spans="1:7" x14ac:dyDescent="0.25">
      <c r="A23">
        <v>19</v>
      </c>
      <c r="B23">
        <f t="shared" si="0"/>
        <v>1.9000000000000001</v>
      </c>
      <c r="C23">
        <f t="shared" si="1"/>
        <v>8.3987187523480947E-3</v>
      </c>
      <c r="D23">
        <f t="shared" si="2"/>
        <v>9.5056782571223703E-3</v>
      </c>
      <c r="E23">
        <f t="shared" si="3"/>
        <v>9.5056782571223703E-3</v>
      </c>
      <c r="F23">
        <f t="shared" si="4"/>
        <v>8.511992071058197E-3</v>
      </c>
      <c r="G23">
        <f t="shared" si="5"/>
        <v>9.9368618606417332E-4</v>
      </c>
    </row>
    <row r="24" spans="1:7" x14ac:dyDescent="0.25">
      <c r="A24">
        <v>20</v>
      </c>
      <c r="B24">
        <f t="shared" si="0"/>
        <v>2</v>
      </c>
      <c r="C24">
        <f t="shared" si="1"/>
        <v>5.7537419954424062E-3</v>
      </c>
      <c r="D24">
        <f t="shared" si="2"/>
        <v>6.5267372553242985E-3</v>
      </c>
      <c r="E24">
        <f t="shared" si="3"/>
        <v>6.5267372553242985E-3</v>
      </c>
      <c r="F24">
        <f t="shared" si="4"/>
        <v>5.80125396280054E-3</v>
      </c>
      <c r="G24">
        <f t="shared" si="5"/>
        <v>7.2548329252375855E-4</v>
      </c>
    </row>
    <row r="25" spans="1:7" x14ac:dyDescent="0.25">
      <c r="A25">
        <v>21</v>
      </c>
      <c r="B25">
        <f t="shared" si="0"/>
        <v>2.1</v>
      </c>
      <c r="C25">
        <f t="shared" si="1"/>
        <v>3.9342938834671728E-3</v>
      </c>
      <c r="D25">
        <f t="shared" si="2"/>
        <v>4.4718094227077908E-3</v>
      </c>
      <c r="E25">
        <f t="shared" si="3"/>
        <v>4.4718094227077908E-3</v>
      </c>
      <c r="F25">
        <f t="shared" si="4"/>
        <v>3.9466174965820206E-3</v>
      </c>
      <c r="G25">
        <f t="shared" si="5"/>
        <v>5.251919261257702E-4</v>
      </c>
    </row>
    <row r="26" spans="1:7" x14ac:dyDescent="0.25">
      <c r="A26">
        <v>22</v>
      </c>
      <c r="B26">
        <f t="shared" si="0"/>
        <v>2.2000000000000002</v>
      </c>
      <c r="C26">
        <f t="shared" si="1"/>
        <v>2.6856393597115913E-3</v>
      </c>
      <c r="D26">
        <f t="shared" si="2"/>
        <v>3.0580476263772699E-3</v>
      </c>
      <c r="E26">
        <f t="shared" si="3"/>
        <v>3.0580476263772699E-3</v>
      </c>
      <c r="F26">
        <f t="shared" si="4"/>
        <v>2.6806274861046172E-3</v>
      </c>
      <c r="G26">
        <f t="shared" si="5"/>
        <v>3.7742014027265271E-4</v>
      </c>
    </row>
    <row r="27" spans="1:7" x14ac:dyDescent="0.25">
      <c r="A27">
        <v>23</v>
      </c>
      <c r="B27">
        <f t="shared" si="0"/>
        <v>2.3000000000000003</v>
      </c>
      <c r="C27">
        <f t="shared" si="1"/>
        <v>1.8304899633795877E-3</v>
      </c>
      <c r="D27">
        <f t="shared" si="2"/>
        <v>2.0876857058706251E-3</v>
      </c>
      <c r="E27">
        <f t="shared" si="3"/>
        <v>2.0876857058706251E-3</v>
      </c>
      <c r="F27">
        <f t="shared" si="4"/>
        <v>1.818186164769251E-3</v>
      </c>
      <c r="G27">
        <f t="shared" si="5"/>
        <v>2.6949954110137408E-4</v>
      </c>
    </row>
    <row r="28" spans="1:7" x14ac:dyDescent="0.25">
      <c r="A28">
        <v>24</v>
      </c>
      <c r="B28">
        <f t="shared" si="0"/>
        <v>2.4000000000000004</v>
      </c>
      <c r="C28">
        <f t="shared" si="1"/>
        <v>1.2459216566094991E-3</v>
      </c>
      <c r="D28">
        <f t="shared" si="2"/>
        <v>1.4230520035785408E-3</v>
      </c>
      <c r="E28">
        <f t="shared" si="3"/>
        <v>1.4230520035785408E-3</v>
      </c>
      <c r="F28">
        <f t="shared" si="4"/>
        <v>1.2316904827505116E-3</v>
      </c>
      <c r="G28">
        <f t="shared" si="5"/>
        <v>1.9136152082802928E-4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2026-04-04T05:51:35Z</dcterms:created>
  <dcterms:modified xsi:type="dcterms:W3CDTF">2026-04-04T07:22:31Z</dcterms:modified>
</cp:coreProperties>
</file>